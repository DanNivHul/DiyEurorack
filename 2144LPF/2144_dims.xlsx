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\Documents\Hobbies\DiyEurorack\2144LPF\"/>
    </mc:Choice>
  </mc:AlternateContent>
  <xr:revisionPtr revIDLastSave="0" documentId="13_ncr:1_{D36DFA3B-5F0A-4243-91F9-A8EB136B2F69}" xr6:coauthVersionLast="47" xr6:coauthVersionMax="47" xr10:uidLastSave="{00000000-0000-0000-0000-000000000000}"/>
  <bookViews>
    <workbookView xWindow="3312" yWindow="1692" windowWidth="15648" windowHeight="10968" xr2:uid="{09F40C93-4647-41B4-A0EB-08A55B858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3" i="1"/>
  <c r="B30" i="1"/>
  <c r="B28" i="1"/>
  <c r="B31" i="1" s="1"/>
  <c r="B56" i="1"/>
  <c r="B59" i="1" s="1"/>
  <c r="B60" i="1" s="1"/>
  <c r="B44" i="1"/>
  <c r="B39" i="1"/>
  <c r="B47" i="1" s="1"/>
  <c r="B48" i="1" s="1"/>
  <c r="B38" i="1"/>
  <c r="B41" i="1" s="1"/>
  <c r="B42" i="1" s="1"/>
  <c r="B37" i="1"/>
  <c r="B36" i="1"/>
  <c r="B50" i="1" s="1"/>
  <c r="B4" i="1"/>
  <c r="B15" i="1" s="1"/>
  <c r="B6" i="1"/>
  <c r="B51" i="1" l="1"/>
  <c r="B52" i="1" s="1"/>
  <c r="B5" i="1"/>
  <c r="B9" i="1" s="1"/>
  <c r="B17" i="1" s="1"/>
  <c r="B14" i="1"/>
  <c r="B45" i="1"/>
  <c r="B46" i="1" s="1"/>
  <c r="B11" i="1" l="1"/>
  <c r="B19" i="1" s="1"/>
  <c r="B67" i="1" s="1"/>
  <c r="B10" i="1"/>
  <c r="B18" i="1" s="1"/>
  <c r="B66" i="1" s="1"/>
  <c r="B64" i="1"/>
  <c r="B63" i="1"/>
  <c r="B23" i="1"/>
  <c r="B25" i="1" s="1"/>
  <c r="B22" i="1"/>
  <c r="B12" i="1"/>
  <c r="B20" i="1" s="1"/>
  <c r="B68" i="1" l="1"/>
  <c r="B65" i="1"/>
  <c r="B69" i="1"/>
  <c r="B70" i="1"/>
</calcChain>
</file>

<file path=xl/sharedStrings.xml><?xml version="1.0" encoding="utf-8"?>
<sst xmlns="http://schemas.openxmlformats.org/spreadsheetml/2006/main" count="65" uniqueCount="64">
  <si>
    <t>pot 1</t>
  </si>
  <si>
    <t>pot 2</t>
  </si>
  <si>
    <t>pot 3</t>
  </si>
  <si>
    <t>pot 4</t>
  </si>
  <si>
    <t>width hp</t>
  </si>
  <si>
    <t>clearance</t>
  </si>
  <si>
    <t>pcb x clearance mm</t>
  </si>
  <si>
    <t>pot x offset mm</t>
  </si>
  <si>
    <t>pcb width mm</t>
  </si>
  <si>
    <t>pot spacing mm</t>
  </si>
  <si>
    <t>centre x mm</t>
  </si>
  <si>
    <t>pcb x start mm</t>
  </si>
  <si>
    <t>pcb x end mm</t>
  </si>
  <si>
    <t>jack 1</t>
  </si>
  <si>
    <t>jack 2</t>
  </si>
  <si>
    <t>jack 3</t>
  </si>
  <si>
    <t>jack 4</t>
  </si>
  <si>
    <t>hole 1 x mm</t>
  </si>
  <si>
    <t>hole 2 x mm</t>
  </si>
  <si>
    <t>idc x mm</t>
  </si>
  <si>
    <t>panel width</t>
  </si>
  <si>
    <t>panel height</t>
  </si>
  <si>
    <t>panel start x</t>
  </si>
  <si>
    <t>panel end x</t>
  </si>
  <si>
    <t>panel start y</t>
  </si>
  <si>
    <t>panel end y</t>
  </si>
  <si>
    <t>slot upper y</t>
  </si>
  <si>
    <t>slot lower y</t>
  </si>
  <si>
    <t>slot length</t>
  </si>
  <si>
    <t>slot line length</t>
  </si>
  <si>
    <t>slot line start x</t>
  </si>
  <si>
    <t>slot line end x</t>
  </si>
  <si>
    <t>bottom slot upper y</t>
  </si>
  <si>
    <t>bottom slot lower y</t>
  </si>
  <si>
    <t>slot centre right side x</t>
  </si>
  <si>
    <t>slot line start  right side x</t>
  </si>
  <si>
    <t>slot line end  right side x</t>
  </si>
  <si>
    <t>pot slot start y</t>
  </si>
  <si>
    <t>distance from pin to travel end</t>
  </si>
  <si>
    <t>pot slots</t>
  </si>
  <si>
    <t>half lever width</t>
  </si>
  <si>
    <t>pin y</t>
  </si>
  <si>
    <t>pot slot end y</t>
  </si>
  <si>
    <t>slot width</t>
  </si>
  <si>
    <t>slot 1 start x</t>
  </si>
  <si>
    <t>slot 1 end x</t>
  </si>
  <si>
    <t>slot 2 start x</t>
  </si>
  <si>
    <t>slot 2 end x</t>
  </si>
  <si>
    <t>slot 3 start x</t>
  </si>
  <si>
    <t>slot 3 end x</t>
  </si>
  <si>
    <t>slot 4 start x</t>
  </si>
  <si>
    <t>slot 4 end x</t>
  </si>
  <si>
    <t>top jack y</t>
  </si>
  <si>
    <t>jack keep out zone y</t>
  </si>
  <si>
    <t>pot y</t>
  </si>
  <si>
    <t>pot keep out zone y</t>
  </si>
  <si>
    <t>halfway y</t>
  </si>
  <si>
    <t>VERSION 1</t>
  </si>
  <si>
    <t>VERSION 2</t>
  </si>
  <si>
    <t>centre of slide pot y</t>
  </si>
  <si>
    <t>switch y</t>
  </si>
  <si>
    <t>slide pot length</t>
  </si>
  <si>
    <t>half length</t>
  </si>
  <si>
    <t>input circle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</si>
</sst>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F880-5D29-4F77-8B3D-575860579EE6}">
  <dimension ref="A1:E70"/>
  <sheetViews>
    <sheetView tabSelected="1" workbookViewId="0">
      <selection activeCell="E10" sqref="E10"/>
    </sheetView>
  </sheetViews>
  <sheetFormatPr defaultRowHeight="14.4" x14ac:dyDescent="0.3"/>
  <cols>
    <col min="1" max="1" width="25.33203125" bestFit="1" customWidth="1"/>
    <col min="4" max="4" width="16.33203125" bestFit="1" customWidth="1"/>
  </cols>
  <sheetData>
    <row r="1" spans="1:5" x14ac:dyDescent="0.3">
      <c r="A1" s="1" t="s">
        <v>57</v>
      </c>
      <c r="B1" s="1"/>
      <c r="D1" s="1" t="s">
        <v>58</v>
      </c>
      <c r="E1" s="1"/>
    </row>
    <row r="2" spans="1:5" x14ac:dyDescent="0.3">
      <c r="A2" t="s">
        <v>4</v>
      </c>
      <c r="B2">
        <v>14</v>
      </c>
      <c r="D2" t="s">
        <v>60</v>
      </c>
      <c r="E2">
        <v>49.5</v>
      </c>
    </row>
    <row r="3" spans="1:5" x14ac:dyDescent="0.3">
      <c r="A3" t="s">
        <v>6</v>
      </c>
      <c r="B3">
        <v>4</v>
      </c>
      <c r="D3" t="s">
        <v>59</v>
      </c>
      <c r="E3">
        <f>(B27-E2)/2+E2</f>
        <v>88.75</v>
      </c>
    </row>
    <row r="4" spans="1:5" x14ac:dyDescent="0.3">
      <c r="A4" t="s">
        <v>8</v>
      </c>
      <c r="B4">
        <f>B2*5.08-B3</f>
        <v>67.12</v>
      </c>
      <c r="D4" t="s">
        <v>61</v>
      </c>
      <c r="E4">
        <v>58.5</v>
      </c>
    </row>
    <row r="5" spans="1:5" x14ac:dyDescent="0.3">
      <c r="A5" t="s">
        <v>9</v>
      </c>
      <c r="B5">
        <f>B4/4</f>
        <v>16.78</v>
      </c>
      <c r="D5" t="s">
        <v>62</v>
      </c>
      <c r="E5">
        <f>E4/2</f>
        <v>29.25</v>
      </c>
    </row>
    <row r="6" spans="1:5" x14ac:dyDescent="0.3">
      <c r="A6" t="s">
        <v>7</v>
      </c>
      <c r="B6">
        <f>3.5/2</f>
        <v>1.75</v>
      </c>
      <c r="D6" t="s">
        <v>54</v>
      </c>
      <c r="E6">
        <f>E3-E5</f>
        <v>59.5</v>
      </c>
    </row>
    <row r="7" spans="1:5" x14ac:dyDescent="0.3">
      <c r="A7" t="s">
        <v>10</v>
      </c>
      <c r="B7">
        <v>100</v>
      </c>
    </row>
    <row r="9" spans="1:5" x14ac:dyDescent="0.3">
      <c r="A9" t="s">
        <v>0</v>
      </c>
      <c r="B9">
        <f>$B$7+$B$6-$B$5*1.5</f>
        <v>76.58</v>
      </c>
      <c r="D9" t="s">
        <v>63</v>
      </c>
      <c r="E9">
        <v>5.3</v>
      </c>
    </row>
    <row r="10" spans="1:5" x14ac:dyDescent="0.3">
      <c r="A10" t="s">
        <v>1</v>
      </c>
      <c r="B10">
        <f>$B$7+$B$6-$B$5*0.5</f>
        <v>93.36</v>
      </c>
    </row>
    <row r="11" spans="1:5" x14ac:dyDescent="0.3">
      <c r="A11" t="s">
        <v>2</v>
      </c>
      <c r="B11">
        <f>$B$7+$B$6+$B$5*0.5</f>
        <v>110.14</v>
      </c>
    </row>
    <row r="12" spans="1:5" x14ac:dyDescent="0.3">
      <c r="A12" t="s">
        <v>3</v>
      </c>
      <c r="B12">
        <f>$B$7+$B$6+$B$5*1.5</f>
        <v>126.92</v>
      </c>
    </row>
    <row r="14" spans="1:5" x14ac:dyDescent="0.3">
      <c r="A14" t="s">
        <v>11</v>
      </c>
      <c r="B14">
        <f>$B$7-$B$4/2</f>
        <v>66.44</v>
      </c>
    </row>
    <row r="15" spans="1:5" x14ac:dyDescent="0.3">
      <c r="A15" t="s">
        <v>12</v>
      </c>
      <c r="B15">
        <f>$B$7+$B$4/2</f>
        <v>133.56</v>
      </c>
    </row>
    <row r="17" spans="1:2" x14ac:dyDescent="0.3">
      <c r="A17" t="s">
        <v>13</v>
      </c>
      <c r="B17">
        <f>B9-$B$6</f>
        <v>74.83</v>
      </c>
    </row>
    <row r="18" spans="1:2" x14ac:dyDescent="0.3">
      <c r="A18" t="s">
        <v>14</v>
      </c>
      <c r="B18">
        <f t="shared" ref="B18:B20" si="0">B10-$B$6</f>
        <v>91.61</v>
      </c>
    </row>
    <row r="19" spans="1:2" x14ac:dyDescent="0.3">
      <c r="A19" t="s">
        <v>15</v>
      </c>
      <c r="B19">
        <f t="shared" si="0"/>
        <v>108.39</v>
      </c>
    </row>
    <row r="20" spans="1:2" x14ac:dyDescent="0.3">
      <c r="A20" t="s">
        <v>16</v>
      </c>
      <c r="B20">
        <f t="shared" si="0"/>
        <v>125.17</v>
      </c>
    </row>
    <row r="22" spans="1:2" x14ac:dyDescent="0.3">
      <c r="A22" t="s">
        <v>17</v>
      </c>
      <c r="B22">
        <f>B7-B5</f>
        <v>83.22</v>
      </c>
    </row>
    <row r="23" spans="1:2" x14ac:dyDescent="0.3">
      <c r="A23" t="s">
        <v>18</v>
      </c>
      <c r="B23">
        <f>B7+B5</f>
        <v>116.78</v>
      </c>
    </row>
    <row r="25" spans="1:2" x14ac:dyDescent="0.3">
      <c r="A25" t="s">
        <v>19</v>
      </c>
      <c r="B25">
        <f>B23-2.54/2</f>
        <v>115.51</v>
      </c>
    </row>
    <row r="27" spans="1:2" x14ac:dyDescent="0.3">
      <c r="A27" t="s">
        <v>52</v>
      </c>
      <c r="B27">
        <v>128</v>
      </c>
    </row>
    <row r="28" spans="1:2" x14ac:dyDescent="0.3">
      <c r="A28" t="s">
        <v>53</v>
      </c>
      <c r="B28">
        <f>B27-7.5</f>
        <v>120.5</v>
      </c>
    </row>
    <row r="29" spans="1:2" x14ac:dyDescent="0.3">
      <c r="A29" t="s">
        <v>54</v>
      </c>
      <c r="B29">
        <v>49</v>
      </c>
    </row>
    <row r="30" spans="1:2" x14ac:dyDescent="0.3">
      <c r="A30" t="s">
        <v>55</v>
      </c>
      <c r="B30">
        <f>B29+59.75</f>
        <v>108.75</v>
      </c>
    </row>
    <row r="31" spans="1:2" x14ac:dyDescent="0.3">
      <c r="A31" t="s">
        <v>56</v>
      </c>
      <c r="B31">
        <f>(B28-B30)/2+B30</f>
        <v>114.625</v>
      </c>
    </row>
    <row r="33" spans="1:2" x14ac:dyDescent="0.3">
      <c r="A33" t="s">
        <v>20</v>
      </c>
      <c r="B33">
        <v>70.8</v>
      </c>
    </row>
    <row r="34" spans="1:2" x14ac:dyDescent="0.3">
      <c r="A34" t="s">
        <v>21</v>
      </c>
      <c r="B34">
        <v>128.5</v>
      </c>
    </row>
    <row r="36" spans="1:2" x14ac:dyDescent="0.3">
      <c r="A36" t="s">
        <v>22</v>
      </c>
      <c r="B36">
        <f>B7-B33/2</f>
        <v>64.599999999999994</v>
      </c>
    </row>
    <row r="37" spans="1:2" x14ac:dyDescent="0.3">
      <c r="A37" t="s">
        <v>23</v>
      </c>
      <c r="B37">
        <f>B7+B33/2</f>
        <v>135.4</v>
      </c>
    </row>
    <row r="38" spans="1:2" x14ac:dyDescent="0.3">
      <c r="A38" t="s">
        <v>24</v>
      </c>
      <c r="B38">
        <f>B7-B34/2</f>
        <v>35.75</v>
      </c>
    </row>
    <row r="39" spans="1:2" x14ac:dyDescent="0.3">
      <c r="A39" t="s">
        <v>25</v>
      </c>
      <c r="B39">
        <f>B7+B34/2</f>
        <v>164.25</v>
      </c>
    </row>
    <row r="41" spans="1:2" x14ac:dyDescent="0.3">
      <c r="A41" t="s">
        <v>26</v>
      </c>
      <c r="B41">
        <f>B38+3-3.2/2</f>
        <v>37.15</v>
      </c>
    </row>
    <row r="42" spans="1:2" x14ac:dyDescent="0.3">
      <c r="A42" t="s">
        <v>27</v>
      </c>
      <c r="B42">
        <f>B41+3.2</f>
        <v>40.35</v>
      </c>
    </row>
    <row r="43" spans="1:2" x14ac:dyDescent="0.3">
      <c r="A43" t="s">
        <v>28</v>
      </c>
      <c r="B43">
        <v>5</v>
      </c>
    </row>
    <row r="44" spans="1:2" x14ac:dyDescent="0.3">
      <c r="A44" t="s">
        <v>29</v>
      </c>
      <c r="B44">
        <f>B43-3.2</f>
        <v>1.7999999999999998</v>
      </c>
    </row>
    <row r="45" spans="1:2" x14ac:dyDescent="0.3">
      <c r="A45" t="s">
        <v>30</v>
      </c>
      <c r="B45">
        <f>B36+7.5-B44/2</f>
        <v>71.199999999999989</v>
      </c>
    </row>
    <row r="46" spans="1:2" x14ac:dyDescent="0.3">
      <c r="A46" t="s">
        <v>31</v>
      </c>
      <c r="B46">
        <f>B45+B44</f>
        <v>72.999999999999986</v>
      </c>
    </row>
    <row r="47" spans="1:2" x14ac:dyDescent="0.3">
      <c r="A47" t="s">
        <v>32</v>
      </c>
      <c r="B47">
        <f>B39-3-3.2/2</f>
        <v>159.65</v>
      </c>
    </row>
    <row r="48" spans="1:2" x14ac:dyDescent="0.3">
      <c r="A48" t="s">
        <v>33</v>
      </c>
      <c r="B48">
        <f>B47+3.2</f>
        <v>162.85</v>
      </c>
    </row>
    <row r="50" spans="1:2" x14ac:dyDescent="0.3">
      <c r="A50" t="s">
        <v>34</v>
      </c>
      <c r="B50">
        <f>B36+7.5+11*5.08</f>
        <v>127.97999999999999</v>
      </c>
    </row>
    <row r="51" spans="1:2" x14ac:dyDescent="0.3">
      <c r="A51" t="s">
        <v>35</v>
      </c>
      <c r="B51">
        <f>B50-B44/2</f>
        <v>127.07999999999998</v>
      </c>
    </row>
    <row r="52" spans="1:2" x14ac:dyDescent="0.3">
      <c r="A52" t="s">
        <v>36</v>
      </c>
      <c r="B52">
        <f>B51+B44</f>
        <v>128.88</v>
      </c>
    </row>
    <row r="54" spans="1:2" x14ac:dyDescent="0.3">
      <c r="A54" t="s">
        <v>39</v>
      </c>
    </row>
    <row r="55" spans="1:2" x14ac:dyDescent="0.3">
      <c r="A55" t="s">
        <v>38</v>
      </c>
      <c r="B55">
        <v>6.75</v>
      </c>
    </row>
    <row r="56" spans="1:2" x14ac:dyDescent="0.3">
      <c r="A56" t="s">
        <v>40</v>
      </c>
      <c r="B56">
        <f>5/2</f>
        <v>2.5</v>
      </c>
    </row>
    <row r="57" spans="1:2" x14ac:dyDescent="0.3">
      <c r="A57" t="s">
        <v>5</v>
      </c>
      <c r="B57">
        <v>0.2</v>
      </c>
    </row>
    <row r="58" spans="1:2" x14ac:dyDescent="0.3">
      <c r="A58" t="s">
        <v>41</v>
      </c>
      <c r="B58">
        <v>49</v>
      </c>
    </row>
    <row r="59" spans="1:2" x14ac:dyDescent="0.3">
      <c r="A59" t="s">
        <v>37</v>
      </c>
      <c r="B59">
        <f>B58+B55-B56-B57</f>
        <v>53.05</v>
      </c>
    </row>
    <row r="60" spans="1:2" x14ac:dyDescent="0.3">
      <c r="A60" t="s">
        <v>42</v>
      </c>
      <c r="B60">
        <f>B59+45+2*B56+2*B57</f>
        <v>103.45</v>
      </c>
    </row>
    <row r="62" spans="1:2" x14ac:dyDescent="0.3">
      <c r="A62" t="s">
        <v>43</v>
      </c>
      <c r="B62">
        <v>3.2</v>
      </c>
    </row>
    <row r="63" spans="1:2" x14ac:dyDescent="0.3">
      <c r="A63" t="s">
        <v>44</v>
      </c>
      <c r="B63">
        <f>B17-B62/2</f>
        <v>73.23</v>
      </c>
    </row>
    <row r="64" spans="1:2" x14ac:dyDescent="0.3">
      <c r="A64" t="s">
        <v>45</v>
      </c>
      <c r="B64">
        <f>B17+B62/2</f>
        <v>76.429999999999993</v>
      </c>
    </row>
    <row r="65" spans="1:2" x14ac:dyDescent="0.3">
      <c r="A65" t="s">
        <v>46</v>
      </c>
      <c r="B65">
        <f>B18-B62/2</f>
        <v>90.01</v>
      </c>
    </row>
    <row r="66" spans="1:2" x14ac:dyDescent="0.3">
      <c r="A66" t="s">
        <v>47</v>
      </c>
      <c r="B66">
        <f>B18+B62/2</f>
        <v>93.21</v>
      </c>
    </row>
    <row r="67" spans="1:2" x14ac:dyDescent="0.3">
      <c r="A67" t="s">
        <v>48</v>
      </c>
      <c r="B67">
        <f>B19-B62/2</f>
        <v>106.79</v>
      </c>
    </row>
    <row r="68" spans="1:2" x14ac:dyDescent="0.3">
      <c r="A68" t="s">
        <v>49</v>
      </c>
      <c r="B68">
        <f>B19+B62/2</f>
        <v>109.99</v>
      </c>
    </row>
    <row r="69" spans="1:2" x14ac:dyDescent="0.3">
      <c r="A69" t="s">
        <v>50</v>
      </c>
      <c r="B69">
        <f>B20-B62/2</f>
        <v>123.57000000000001</v>
      </c>
    </row>
    <row r="70" spans="1:2" x14ac:dyDescent="0.3">
      <c r="A70" t="s">
        <v>51</v>
      </c>
      <c r="B70">
        <f>B20+B62/2</f>
        <v>126.77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Niven-hulett</dc:creator>
  <cp:lastModifiedBy>Daniel Niven-hulett</cp:lastModifiedBy>
  <dcterms:created xsi:type="dcterms:W3CDTF">2025-10-03T01:27:20Z</dcterms:created>
  <dcterms:modified xsi:type="dcterms:W3CDTF">2025-10-22T03:54:10Z</dcterms:modified>
</cp:coreProperties>
</file>